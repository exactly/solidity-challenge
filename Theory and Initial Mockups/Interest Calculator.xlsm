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or\Desktop\Index\Coding Software\GitHub\exactly-challenge-solution\Theory and Initial Mockups\"/>
    </mc:Choice>
  </mc:AlternateContent>
  <xr:revisionPtr revIDLastSave="0" documentId="13_ncr:1_{24126428-71C5-4090-8993-1976B4B35635}" xr6:coauthVersionLast="47" xr6:coauthVersionMax="47" xr10:uidLastSave="{00000000-0000-0000-0000-000000000000}"/>
  <bookViews>
    <workbookView xWindow="24480" yWindow="4116" windowWidth="21600" windowHeight="11388" xr2:uid="{A497D000-F625-40C2-BAE7-579B3C56BD61}"/>
  </bookViews>
  <sheets>
    <sheet name="Hoja1" sheetId="1" r:id="rId1"/>
  </sheets>
  <definedNames>
    <definedName name="solver_adj" localSheetId="0" hidden="1">Hoja1!$E$6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Hoja1!$E$6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Hoja1!$J$6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hs1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1" i="1" l="1"/>
  <c r="D6" i="1"/>
  <c r="H6" i="1"/>
  <c r="I6" i="1"/>
  <c r="J6" i="1" l="1"/>
</calcChain>
</file>

<file path=xl/sharedStrings.xml><?xml version="1.0" encoding="utf-8"?>
<sst xmlns="http://schemas.openxmlformats.org/spreadsheetml/2006/main" count="24" uniqueCount="23">
  <si>
    <t>r</t>
  </si>
  <si>
    <t>At Obj</t>
  </si>
  <si>
    <t>Reward %</t>
  </si>
  <si>
    <t>Amount of Payment Cycles per year</t>
  </si>
  <si>
    <t>Daily</t>
  </si>
  <si>
    <t>Weekly</t>
  </si>
  <si>
    <t>Monthly</t>
  </si>
  <si>
    <t>Bimonthly</t>
  </si>
  <si>
    <t>Quarterly</t>
  </si>
  <si>
    <t>Semiannual</t>
  </si>
  <si>
    <t>Rewarding periods</t>
  </si>
  <si>
    <t>Annualy</t>
  </si>
  <si>
    <t>APY</t>
  </si>
  <si>
    <t>Balance Modulus</t>
  </si>
  <si>
    <t>Current Cycle</t>
  </si>
  <si>
    <t>Rewards to Inject on that Cycle</t>
  </si>
  <si>
    <t>Initial Pool Balance</t>
  </si>
  <si>
    <t>Final Pool Balance</t>
  </si>
  <si>
    <t>Input data</t>
  </si>
  <si>
    <t>Outputs</t>
  </si>
  <si>
    <t>Aux Var</t>
  </si>
  <si>
    <t>Rates Calc</t>
  </si>
  <si>
    <t>Rewards Calc.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</si>
</sst>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00"/>
    <numFmt numFmtId="166" formatCode="0.00000%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vertical="center"/>
    </xf>
    <xf numFmtId="166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9" fontId="0" fillId="2" borderId="1" xfId="0" applyNumberFormat="1" applyFill="1" applyBorder="1" applyAlignment="1">
      <alignment horizontal="center"/>
    </xf>
    <xf numFmtId="166" fontId="0" fillId="7" borderId="1" xfId="1" applyNumberFormat="1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164" fontId="0" fillId="7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5" fontId="0" fillId="7" borderId="1" xfId="1" applyNumberFormat="1" applyFont="1" applyFill="1" applyBorder="1" applyAlignment="1">
      <alignment horizontal="center"/>
    </xf>
    <xf numFmtId="0" fontId="4" fillId="0" borderId="0" xfId="0" applyFont="1"/>
    <xf numFmtId="165" fontId="0" fillId="0" borderId="0" xfId="0" applyNumberFormat="1"/>
    <xf numFmtId="164" fontId="0" fillId="0" borderId="0" xfId="0" applyNumberFormat="1"/>
    <xf numFmtId="0" fontId="3" fillId="0" borderId="1" xfId="0" applyFont="1" applyBorder="1" applyAlignment="1">
      <alignment horizontal="center" textRotation="45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66675</xdr:rowOff>
        </xdr:from>
        <xdr:to>
          <xdr:col>3</xdr:col>
          <xdr:colOff>186690</xdr:colOff>
          <xdr:row>8</xdr:row>
          <xdr:rowOff>110490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0</xdr:row>
      <xdr:rowOff>28575</xdr:rowOff>
    </xdr:from>
    <xdr:to>
      <xdr:col>11</xdr:col>
      <xdr:colOff>9525</xdr:colOff>
      <xdr:row>3</xdr:row>
      <xdr:rowOff>142875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638300" y="28575"/>
          <a:ext cx="7229475" cy="819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/>
            <a:t>Set the desired</a:t>
          </a:r>
          <a:r>
            <a:rPr lang="es-AR" sz="1100" baseline="0"/>
            <a:t> APY, Initial Pool Balance and Amount of cycles.</a:t>
          </a:r>
        </a:p>
        <a:p>
          <a:r>
            <a:rPr lang="es-AR" sz="1100" baseline="0"/>
            <a:t>Press "Calculate r" and a reward factor as well as its percentage is calculated.</a:t>
          </a:r>
        </a:p>
        <a:p>
          <a:r>
            <a:rPr lang="es-AR" sz="1100" baseline="0"/>
            <a:t>To calculate the amount of rewards that need to be injected into the pool at a certain point, set the current cycle.</a:t>
          </a:r>
        </a:p>
        <a:p>
          <a:r>
            <a:rPr lang="es-AR" sz="1050" b="1" i="1" baseline="0"/>
            <a:t>Note</a:t>
          </a:r>
          <a:r>
            <a:rPr lang="es-AR" sz="1050" i="1" baseline="0"/>
            <a:t>: The variation of the Pool Balance happens due to the Injection of capital on that pool thus the compound interest</a:t>
          </a:r>
          <a:r>
            <a:rPr lang="es-AR" sz="1100" i="1" baseline="0"/>
            <a:t>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D5F66-0B08-4557-97EC-F7C4B1D1CDC7}">
  <sheetPr codeName="Hoja1"/>
  <dimension ref="B1:O14"/>
  <sheetViews>
    <sheetView tabSelected="1" workbookViewId="0">
      <selection activeCell="F10" sqref="F10"/>
    </sheetView>
  </sheetViews>
  <sheetFormatPr baseColWidth="10" defaultRowHeight="15" x14ac:dyDescent="0.25"/>
  <cols>
    <col min="2" max="2" width="12.85546875" bestFit="1" customWidth="1"/>
    <col min="3" max="3" width="9.85546875" customWidth="1"/>
    <col min="4" max="4" width="13.140625" customWidth="1"/>
    <col min="6" max="6" width="12" customWidth="1"/>
    <col min="7" max="7" width="15.85546875" customWidth="1"/>
    <col min="9" max="9" width="12" bestFit="1" customWidth="1"/>
    <col min="13" max="13" width="13.42578125" customWidth="1"/>
    <col min="14" max="14" width="16.28515625" customWidth="1"/>
  </cols>
  <sheetData>
    <row r="1" spans="2:15" ht="25.5" customHeight="1" x14ac:dyDescent="0.25">
      <c r="B1" s="8" t="s">
        <v>18</v>
      </c>
    </row>
    <row r="2" spans="2:15" s="2" customFormat="1" x14ac:dyDescent="0.25">
      <c r="B2" s="9" t="s">
        <v>19</v>
      </c>
      <c r="K2" s="3"/>
      <c r="L2" s="3"/>
    </row>
    <row r="3" spans="2:15" x14ac:dyDescent="0.25">
      <c r="B3" s="10" t="s">
        <v>20</v>
      </c>
      <c r="K3" s="1"/>
      <c r="L3" s="1"/>
    </row>
    <row r="5" spans="2:15" ht="40.5" customHeight="1" x14ac:dyDescent="0.25">
      <c r="B5" s="22" t="s">
        <v>21</v>
      </c>
      <c r="C5" s="8" t="s">
        <v>12</v>
      </c>
      <c r="D5" s="9" t="s">
        <v>2</v>
      </c>
      <c r="E5" s="10" t="s">
        <v>0</v>
      </c>
      <c r="F5" s="8" t="s">
        <v>16</v>
      </c>
      <c r="G5" s="8" t="s">
        <v>3</v>
      </c>
      <c r="H5" s="9" t="s">
        <v>17</v>
      </c>
      <c r="I5" s="10" t="s">
        <v>1</v>
      </c>
      <c r="J5" s="10" t="s">
        <v>13</v>
      </c>
      <c r="N5" s="4" t="s">
        <v>10</v>
      </c>
      <c r="O5" s="4" t="s">
        <v>3</v>
      </c>
    </row>
    <row r="6" spans="2:15" x14ac:dyDescent="0.25">
      <c r="B6" s="22"/>
      <c r="C6" s="11">
        <v>0.1</v>
      </c>
      <c r="D6" s="12">
        <f>+E6</f>
        <v>1.8345688399158369E-3</v>
      </c>
      <c r="E6" s="13">
        <v>1.8345688399158369E-3</v>
      </c>
      <c r="F6" s="14">
        <v>2000</v>
      </c>
      <c r="G6" s="15">
        <v>52</v>
      </c>
      <c r="H6" s="16">
        <f>$F6*(1+$E6)^G6</f>
        <v>2200.0000000779692</v>
      </c>
      <c r="I6" s="13">
        <f>C6*F6+F6</f>
        <v>2200</v>
      </c>
      <c r="J6" s="13">
        <f>ABS(H6-I6)</f>
        <v>7.7969161793589592E-8</v>
      </c>
      <c r="N6" s="5" t="s">
        <v>4</v>
      </c>
      <c r="O6" s="5">
        <v>365</v>
      </c>
    </row>
    <row r="7" spans="2:15" x14ac:dyDescent="0.25">
      <c r="N7" s="5" t="s">
        <v>5</v>
      </c>
      <c r="O7" s="5">
        <v>52</v>
      </c>
    </row>
    <row r="8" spans="2:15" x14ac:dyDescent="0.25">
      <c r="N8" s="5" t="s">
        <v>6</v>
      </c>
      <c r="O8" s="5">
        <v>12</v>
      </c>
    </row>
    <row r="9" spans="2:15" x14ac:dyDescent="0.25">
      <c r="N9" s="5" t="s">
        <v>7</v>
      </c>
      <c r="O9" s="5">
        <v>6</v>
      </c>
    </row>
    <row r="10" spans="2:15" ht="45" x14ac:dyDescent="0.25">
      <c r="B10" s="22" t="s">
        <v>22</v>
      </c>
      <c r="C10" s="8" t="s">
        <v>14</v>
      </c>
      <c r="D10" s="9" t="s">
        <v>15</v>
      </c>
      <c r="G10" s="20"/>
      <c r="I10" s="7"/>
      <c r="N10" s="5" t="s">
        <v>8</v>
      </c>
      <c r="O10" s="5">
        <v>4</v>
      </c>
    </row>
    <row r="11" spans="2:15" x14ac:dyDescent="0.25">
      <c r="B11" s="22"/>
      <c r="C11" s="17">
        <v>10</v>
      </c>
      <c r="D11" s="18">
        <f>+(F6*(1+E6)^C11) - (F6*(1+E6)^(C11-1))</f>
        <v>3.7301657232665093</v>
      </c>
      <c r="G11" s="21"/>
      <c r="I11" s="19"/>
      <c r="N11" s="5" t="s">
        <v>9</v>
      </c>
      <c r="O11" s="5">
        <v>2</v>
      </c>
    </row>
    <row r="12" spans="2:15" x14ac:dyDescent="0.25">
      <c r="N12" s="5" t="s">
        <v>11</v>
      </c>
      <c r="O12" s="5">
        <v>1</v>
      </c>
    </row>
    <row r="14" spans="2:15" s="6" customFormat="1" x14ac:dyDescent="0.25">
      <c r="F14"/>
      <c r="H14" s="7"/>
    </row>
  </sheetData>
  <mergeCells count="2">
    <mergeCell ref="B5:B6"/>
    <mergeCell ref="B10:B1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6</xdr:row>
                <xdr:rowOff>66675</xdr:rowOff>
              </from>
              <to>
                <xdr:col>3</xdr:col>
                <xdr:colOff>180975</xdr:colOff>
                <xdr:row>8</xdr:row>
                <xdr:rowOff>95250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Lior</dc:creator>
  <cp:lastModifiedBy>Lior</cp:lastModifiedBy>
  <dcterms:created xsi:type="dcterms:W3CDTF">2022-02-23T14:29:19Z</dcterms:created>
  <dcterms:modified xsi:type="dcterms:W3CDTF">2022-02-23T22:08:37Z</dcterms:modified>
</cp:coreProperties>
</file>